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0BF07E0A-FE88-456F-B6F3-7A6E740DB5AB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Work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M3" i="1" l="1"/>
  <c r="N3" i="1"/>
  <c r="O3" i="1"/>
  <c r="P3" i="1"/>
  <c r="M4" i="1"/>
  <c r="N4" i="1"/>
  <c r="O4" i="1"/>
  <c r="P4" i="1"/>
  <c r="M5" i="1"/>
  <c r="N5" i="1"/>
  <c r="O5" i="1"/>
  <c r="P5" i="1"/>
  <c r="M6" i="1"/>
  <c r="N6" i="1"/>
  <c r="O6" i="1"/>
  <c r="P6" i="1"/>
  <c r="M7" i="1"/>
  <c r="N7" i="1"/>
  <c r="O7" i="1"/>
  <c r="P7" i="1"/>
  <c r="M8" i="1"/>
  <c r="N8" i="1"/>
  <c r="O8" i="1"/>
  <c r="P8" i="1"/>
  <c r="M9" i="1"/>
  <c r="N9" i="1"/>
  <c r="O9" i="1"/>
  <c r="P9" i="1"/>
  <c r="M10" i="1"/>
  <c r="N10" i="1"/>
  <c r="O10" i="1"/>
  <c r="P10" i="1"/>
  <c r="M11" i="1"/>
  <c r="N11" i="1"/>
  <c r="O11" i="1"/>
  <c r="P11" i="1"/>
  <c r="M12" i="1"/>
  <c r="N12" i="1"/>
  <c r="O12" i="1"/>
  <c r="P12" i="1"/>
  <c r="M13" i="1"/>
  <c r="N13" i="1"/>
  <c r="O13" i="1"/>
  <c r="P13" i="1"/>
  <c r="M14" i="1"/>
  <c r="N14" i="1"/>
  <c r="O14" i="1"/>
  <c r="P14" i="1"/>
  <c r="M15" i="1"/>
  <c r="N15" i="1"/>
  <c r="O15" i="1"/>
  <c r="P15" i="1"/>
  <c r="M16" i="1"/>
  <c r="N16" i="1"/>
  <c r="O16" i="1"/>
  <c r="P16" i="1"/>
  <c r="M17" i="1"/>
  <c r="N17" i="1"/>
  <c r="O17" i="1"/>
  <c r="P17" i="1"/>
  <c r="M18" i="1"/>
  <c r="N18" i="1"/>
  <c r="O18" i="1"/>
  <c r="P18" i="1"/>
  <c r="M19" i="1"/>
  <c r="N19" i="1"/>
  <c r="O19" i="1"/>
  <c r="P19" i="1"/>
  <c r="M20" i="1"/>
  <c r="N20" i="1"/>
  <c r="O20" i="1"/>
  <c r="P20" i="1"/>
  <c r="M21" i="1"/>
  <c r="N21" i="1"/>
  <c r="O21" i="1"/>
  <c r="P21" i="1"/>
  <c r="M22" i="1"/>
  <c r="N22" i="1"/>
  <c r="O22" i="1"/>
  <c r="P22" i="1"/>
  <c r="M23" i="1"/>
  <c r="N23" i="1"/>
  <c r="O23" i="1"/>
  <c r="P23" i="1"/>
  <c r="M24" i="1"/>
  <c r="N24" i="1"/>
  <c r="O24" i="1"/>
  <c r="P24" i="1"/>
  <c r="M25" i="1"/>
  <c r="N25" i="1"/>
  <c r="O25" i="1"/>
  <c r="P25" i="1"/>
  <c r="M26" i="1"/>
  <c r="N26" i="1"/>
  <c r="O26" i="1"/>
  <c r="P26" i="1"/>
  <c r="M27" i="1"/>
  <c r="N27" i="1"/>
  <c r="O27" i="1"/>
  <c r="P27" i="1"/>
  <c r="M28" i="1"/>
  <c r="N28" i="1"/>
  <c r="O28" i="1"/>
  <c r="P28" i="1"/>
  <c r="M29" i="1"/>
  <c r="N29" i="1"/>
  <c r="O29" i="1"/>
  <c r="P29" i="1"/>
  <c r="M30" i="1"/>
  <c r="N30" i="1"/>
  <c r="O30" i="1"/>
  <c r="P30" i="1"/>
  <c r="M31" i="1"/>
  <c r="N31" i="1"/>
  <c r="O31" i="1"/>
  <c r="P31" i="1"/>
  <c r="M32" i="1"/>
  <c r="N32" i="1"/>
  <c r="O32" i="1"/>
  <c r="P32" i="1"/>
  <c r="P2" i="1"/>
  <c r="O2" i="1"/>
  <c r="N2" i="1"/>
  <c r="M2" i="1"/>
</calcChain>
</file>

<file path=xl/sharedStrings.xml><?xml version="1.0" encoding="utf-8"?>
<sst xmlns="http://schemas.openxmlformats.org/spreadsheetml/2006/main" count="175" uniqueCount="94">
  <si>
    <t>Mã sản phẩm</t>
  </si>
  <si>
    <t>Tên sản phẩm</t>
  </si>
  <si>
    <t>Nhóm sản phẩm</t>
  </si>
  <si>
    <t>Thương hiệu</t>
  </si>
  <si>
    <t>Đơn vị</t>
  </si>
  <si>
    <t>Giá nhập</t>
  </si>
  <si>
    <t>SL tồn tối thiểu</t>
  </si>
  <si>
    <t>SL tồn tối đa</t>
  </si>
  <si>
    <t>Dài(cm)</t>
  </si>
  <si>
    <t>Rộng(cm)</t>
  </si>
  <si>
    <t>Cao(cm)</t>
  </si>
  <si>
    <t>Khối lượng(g)</t>
  </si>
  <si>
    <t>Giá: Đại lý cấp 1</t>
  </si>
  <si>
    <t>Giá: Đại lý cấp 2</t>
  </si>
  <si>
    <t>Giá: Đại lý cấp 3</t>
  </si>
  <si>
    <t>Giá: Khách lẻ</t>
  </si>
  <si>
    <t>SL: Kho vĩnh phúc</t>
  </si>
  <si>
    <t>SL: Kho Hà Nội</t>
  </si>
  <si>
    <t>SL: Kho Hồ Chí Minh</t>
  </si>
  <si>
    <t>SL: Sản Xuất</t>
  </si>
  <si>
    <t>Tham cốp nhựa đúc pako</t>
  </si>
  <si>
    <t>MAZDA</t>
  </si>
  <si>
    <t>KIA</t>
  </si>
  <si>
    <t>TCNDPC102</t>
  </si>
  <si>
    <t>TCNDPFE2202</t>
  </si>
  <si>
    <t>TCNDPFT02</t>
  </si>
  <si>
    <t>TCNDPHB02</t>
  </si>
  <si>
    <t>TCNDPHC1203</t>
  </si>
  <si>
    <t>TCNDPHC202</t>
  </si>
  <si>
    <t>TCNDPHC1204</t>
  </si>
  <si>
    <t>TCNDPHH2202</t>
  </si>
  <si>
    <t>TCNDPHA1202</t>
  </si>
  <si>
    <t>TCNDPHA2202</t>
  </si>
  <si>
    <t>TCNDPHC1205</t>
  </si>
  <si>
    <t>TCNDPHE202</t>
  </si>
  <si>
    <t>TCNDPHI2H02</t>
  </si>
  <si>
    <t>TCNDPHS1202</t>
  </si>
  <si>
    <t>TCNDPHS2203</t>
  </si>
  <si>
    <t>TCNDPHS2204</t>
  </si>
  <si>
    <t>TCNDPHT1202</t>
  </si>
  <si>
    <t>TCNDPHT2202</t>
  </si>
  <si>
    <t>TCNDPHV02</t>
  </si>
  <si>
    <t>TCNDPKC2202</t>
  </si>
  <si>
    <t>TCNDPKCK1202</t>
  </si>
  <si>
    <t>TCNDPKS204</t>
  </si>
  <si>
    <t>TCNDPKS205</t>
  </si>
  <si>
    <t>TCNDPKS206</t>
  </si>
  <si>
    <t>TCNDPLR31202</t>
  </si>
  <si>
    <t>TCNDPLR3202</t>
  </si>
  <si>
    <t>TCNDPLCMG2202</t>
  </si>
  <si>
    <t>TCNDPLCMZBL02</t>
  </si>
  <si>
    <t>TCNDPLCTFI002</t>
  </si>
  <si>
    <t>TCNDPM212H02</t>
  </si>
  <si>
    <t>TCNDPM311BS02</t>
  </si>
  <si>
    <t>Thảm Cốp Nhựa Đúc PAKO Camry 19-25</t>
  </si>
  <si>
    <t>Thảm Cốp Nhựa Đúc PAKO Ford Everest 22 - 25</t>
  </si>
  <si>
    <t>Thảm Cốp Nhựa Đúc PAKO Ford Territory</t>
  </si>
  <si>
    <t>Thảm Cốp Nhựa Đúc PAKO Honda BR-V</t>
  </si>
  <si>
    <t>Thảm Cốp Nhựa Đúc PAKO Honda City 15-21</t>
  </si>
  <si>
    <t>Thảm Cốp Nhựa Đúc PAKO Honda City 22-25</t>
  </si>
  <si>
    <t>Thảm Cốp Nhựa Đúc PAKO Honda CR-V 18 - 23</t>
  </si>
  <si>
    <t>Thảm Cốp Nhựa Đúc PAKO Honda HR-V 22 - 25</t>
  </si>
  <si>
    <t>Thảm Cốp Nhựa Đúc PAKO Hyundai Accent 18 - 23</t>
  </si>
  <si>
    <t>Thảm Cốp Nhựa Đúc PAKO Hyundai Accent 24 - 25</t>
  </si>
  <si>
    <t>Thảm Cốp Nhựa Đúc PAKO Hyundai Creta</t>
  </si>
  <si>
    <t>Thảm Cốp Nhựa Đúc PAKO Hyundai Elantra 22-25</t>
  </si>
  <si>
    <t>Thảm Cốp Nhựa Đúc PAKO Hyundai I10 22-25 Hatback</t>
  </si>
  <si>
    <t>Thảm Cốp Nhựa Đúc PAKO Hyundai Santafe 19 -23</t>
  </si>
  <si>
    <t>Thảm Cốp Nhựa Đúc PAKO Hyundai Santafe 24 -25</t>
  </si>
  <si>
    <t>Thảm Cốp Nhựa Đúc PAKO Hyundai Starzager</t>
  </si>
  <si>
    <t>Thảm Cốp Nhựa Đúc PAKO Hyundai Tucson 15 - 21</t>
  </si>
  <si>
    <t>Thảm Cốp Nhựa Đúc PAKO Hyundai Tucson 22 - 25</t>
  </si>
  <si>
    <t>Thảm Cốp Nhựa Đúc PAKO Hyundai Venue</t>
  </si>
  <si>
    <t>Thảm Cốp Nhựa Đúc PAKO KIA Carens 23 - 25</t>
  </si>
  <si>
    <t>Thảm Cốp Nhựa Đúc PAKO KIA Cerato/ K3 19 - 25</t>
  </si>
  <si>
    <t>Thảm Cốp Nhựa Đúc PAKO KIA Seltos</t>
  </si>
  <si>
    <t>Thảm Cốp Nhựa Đúc PAKO Kia Sonet</t>
  </si>
  <si>
    <t>Thảm Cốp Nhựa Đúc PAKO Kia Sportage 22-25</t>
  </si>
  <si>
    <t>Thảm Cốp Nhựa Đúc PAKO Lexus RX 350 18 - 22</t>
  </si>
  <si>
    <t>Thảm Cốp Nhựa Đúc PAKO Lexus RX 350 23-25</t>
  </si>
  <si>
    <t>Thảm Cốp Nhựa Đúc PAKO Lót cốp Mercedes GLC 23 - 25</t>
  </si>
  <si>
    <t>Thảm Cốp Nhựa Đúc PAKO Lót cốp MG ZS Bản Luxury</t>
  </si>
  <si>
    <t>Thảm Cốp Nhựa Đúc PAKO Lót cốp Toyota Fortuner / Innova 08-25</t>
  </si>
  <si>
    <t>Thảm Cốp Nhựa Đúc PAKO Mazda 2 15 - 25 Hatchback</t>
  </si>
  <si>
    <t>Thảm Cốp Nhựa Đúc PAKO Mazda 3 14 - 19 ( Bản Sedan )</t>
  </si>
  <si>
    <t>TOYOTA</t>
  </si>
  <si>
    <t>FORD</t>
  </si>
  <si>
    <t>HONDA</t>
  </si>
  <si>
    <t>HYUNDAI</t>
  </si>
  <si>
    <t>PAKO</t>
  </si>
  <si>
    <t>LEXUS</t>
  </si>
  <si>
    <t>MERCEDES</t>
  </si>
  <si>
    <t>MG</t>
  </si>
  <si>
    <t>bộ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</si>
</sst>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rgb="FF000000"/>
      <name val="Calibri"/>
    </font>
    <font>
      <b/>
      <sz val="11"/>
      <color rgb="FF000000"/>
      <name val="Calibri"/>
    </font>
    <font>
      <sz val="12"/>
      <color rgb="FF000000"/>
      <name val="&quot;Times New Roman&quot;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1" xfId="0" applyFont="1" applyBorder="1" applyAlignment="1">
      <alignment horizontal="left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32"/>
  <sheetViews>
    <sheetView tabSelected="1" workbookViewId="0">
      <selection activeCell="G20" sqref="G20"/>
    </sheetView>
  </sheetViews>
  <sheetFormatPr defaultRowHeight="15"/>
  <cols>
    <col min="1" max="1" width="21.140625" bestFit="1" customWidth="1"/>
    <col min="2" max="2" width="70" bestFit="1" customWidth="1"/>
    <col min="3" max="3" width="31.7109375" bestFit="1" customWidth="1"/>
    <col min="4" max="4" width="14" bestFit="1" customWidth="1"/>
    <col min="5" max="5" width="8.140625" bestFit="1" customWidth="1"/>
    <col min="6" max="6" width="10.5703125" bestFit="1" customWidth="1"/>
    <col min="7" max="7" width="20" bestFit="1" customWidth="1"/>
    <col min="8" max="8" width="16.42578125" bestFit="1" customWidth="1"/>
    <col min="9" max="9" width="9.28515625" bestFit="1" customWidth="1"/>
    <col min="10" max="10" width="10.5703125" bestFit="1" customWidth="1"/>
    <col min="11" max="11" width="9.28515625" bestFit="1" customWidth="1"/>
    <col min="12" max="12" width="16.42578125" bestFit="1" customWidth="1"/>
    <col min="13" max="15" width="21.140625" bestFit="1" customWidth="1"/>
    <col min="16" max="16" width="16.42578125" bestFit="1" customWidth="1"/>
    <col min="17" max="17" width="21.140625" bestFit="1" customWidth="1"/>
    <col min="18" max="18" width="17.5703125" bestFit="1" customWidth="1"/>
    <col min="19" max="19" width="23.42578125" bestFit="1" customWidth="1"/>
    <col min="20" max="20" width="15.28515625" bestFit="1" customWidth="1"/>
  </cols>
  <sheetData>
    <row r="1" spans="1:2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 ht="15.75">
      <c r="A2" s="2" t="s">
        <v>23</v>
      </c>
      <c r="B2" s="2" t="s">
        <v>54</v>
      </c>
      <c r="C2" t="s">
        <v>20</v>
      </c>
      <c r="D2" s="2" t="s">
        <v>85</v>
      </c>
      <c r="E2" t="s">
        <v>93</v>
      </c>
      <c r="F2">
        <v>750000</v>
      </c>
      <c r="G2">
        <v>5</v>
      </c>
      <c r="H2">
        <v>1000</v>
      </c>
      <c r="I2">
        <v>150</v>
      </c>
      <c r="J2">
        <v>38</v>
      </c>
      <c r="K2">
        <v>30</v>
      </c>
      <c r="L2">
        <v>23000</v>
      </c>
      <c r="M2">
        <f>F2*1.2</f>
        <v>900000</v>
      </c>
      <c r="N2">
        <f>F2*1.4</f>
        <v>1050000</v>
      </c>
      <c r="O2">
        <f>F2*1.5</f>
        <v>1125000</v>
      </c>
      <c r="P2">
        <f>F2*2</f>
        <v>1500000</v>
      </c>
      <c r="Q2">
        <v>10</v>
      </c>
      <c r="R2">
        <v>15</v>
      </c>
      <c r="S2">
        <v>20</v>
      </c>
      <c r="T2">
        <v>25</v>
      </c>
    </row>
    <row r="3" spans="1:20" ht="15.75">
      <c r="A3" s="2" t="s">
        <v>24</v>
      </c>
      <c r="B3" s="2" t="s">
        <v>55</v>
      </c>
      <c r="C3" t="s">
        <v>20</v>
      </c>
      <c r="D3" s="2" t="s">
        <v>86</v>
      </c>
      <c r="E3" t="s">
        <v>93</v>
      </c>
      <c r="F3">
        <v>800000</v>
      </c>
      <c r="G3">
        <v>5</v>
      </c>
      <c r="H3">
        <v>1000</v>
      </c>
      <c r="I3">
        <v>150</v>
      </c>
      <c r="J3">
        <v>38</v>
      </c>
      <c r="K3">
        <v>30</v>
      </c>
      <c r="L3">
        <v>23000</v>
      </c>
      <c r="M3">
        <f t="shared" ref="M3:M32" si="0">F3*1.2</f>
        <v>960000</v>
      </c>
      <c r="N3">
        <f t="shared" ref="N3:N32" si="1">F3*1.4</f>
        <v>1120000</v>
      </c>
      <c r="O3">
        <f t="shared" ref="O3:O32" si="2">F3*1.5</f>
        <v>1200000</v>
      </c>
      <c r="P3">
        <f t="shared" ref="P3:P32" si="3">F3*2</f>
        <v>1600000</v>
      </c>
      <c r="Q3">
        <v>10</v>
      </c>
      <c r="R3">
        <v>15</v>
      </c>
      <c r="S3">
        <v>20</v>
      </c>
      <c r="T3">
        <v>25</v>
      </c>
    </row>
    <row r="4" spans="1:20" ht="15.75">
      <c r="A4" s="2" t="s">
        <v>25</v>
      </c>
      <c r="B4" s="2" t="s">
        <v>56</v>
      </c>
      <c r="C4" t="s">
        <v>20</v>
      </c>
      <c r="D4" s="2" t="s">
        <v>86</v>
      </c>
      <c r="E4" t="s">
        <v>93</v>
      </c>
      <c r="F4">
        <v>850000</v>
      </c>
      <c r="G4">
        <v>5</v>
      </c>
      <c r="H4">
        <v>1000</v>
      </c>
      <c r="I4">
        <v>150</v>
      </c>
      <c r="J4">
        <v>38</v>
      </c>
      <c r="K4">
        <v>30</v>
      </c>
      <c r="L4">
        <v>23000</v>
      </c>
      <c r="M4">
        <f t="shared" si="0"/>
        <v>1020000</v>
      </c>
      <c r="N4">
        <f t="shared" si="1"/>
        <v>1190000</v>
      </c>
      <c r="O4">
        <f t="shared" si="2"/>
        <v>1275000</v>
      </c>
      <c r="P4">
        <f t="shared" si="3"/>
        <v>1700000</v>
      </c>
      <c r="Q4">
        <v>10</v>
      </c>
      <c r="R4">
        <v>15</v>
      </c>
      <c r="S4">
        <v>20</v>
      </c>
      <c r="T4">
        <v>25</v>
      </c>
    </row>
    <row r="5" spans="1:20" ht="15.75">
      <c r="A5" s="2" t="s">
        <v>26</v>
      </c>
      <c r="B5" s="2" t="s">
        <v>57</v>
      </c>
      <c r="C5" t="s">
        <v>20</v>
      </c>
      <c r="D5" s="2" t="s">
        <v>87</v>
      </c>
      <c r="E5" t="s">
        <v>93</v>
      </c>
      <c r="F5">
        <v>900000</v>
      </c>
      <c r="G5">
        <v>5</v>
      </c>
      <c r="H5">
        <v>1000</v>
      </c>
      <c r="I5">
        <v>150</v>
      </c>
      <c r="J5">
        <v>38</v>
      </c>
      <c r="K5">
        <v>30</v>
      </c>
      <c r="L5">
        <v>23000</v>
      </c>
      <c r="M5">
        <f t="shared" si="0"/>
        <v>1080000</v>
      </c>
      <c r="N5">
        <f t="shared" si="1"/>
        <v>1260000</v>
      </c>
      <c r="O5">
        <f t="shared" si="2"/>
        <v>1350000</v>
      </c>
      <c r="P5">
        <f t="shared" si="3"/>
        <v>1800000</v>
      </c>
      <c r="Q5">
        <v>10</v>
      </c>
      <c r="R5">
        <v>15</v>
      </c>
      <c r="S5">
        <v>20</v>
      </c>
      <c r="T5">
        <v>25</v>
      </c>
    </row>
    <row r="6" spans="1:20" ht="15.75">
      <c r="A6" s="2" t="s">
        <v>27</v>
      </c>
      <c r="B6" s="2" t="s">
        <v>58</v>
      </c>
      <c r="C6" t="s">
        <v>20</v>
      </c>
      <c r="D6" s="2" t="s">
        <v>87</v>
      </c>
      <c r="E6" t="s">
        <v>93</v>
      </c>
      <c r="F6">
        <v>950000</v>
      </c>
      <c r="G6">
        <v>5</v>
      </c>
      <c r="H6">
        <v>1000</v>
      </c>
      <c r="I6">
        <v>150</v>
      </c>
      <c r="J6">
        <v>38</v>
      </c>
      <c r="K6">
        <v>30</v>
      </c>
      <c r="L6">
        <v>23000</v>
      </c>
      <c r="M6">
        <f t="shared" si="0"/>
        <v>1140000</v>
      </c>
      <c r="N6">
        <f t="shared" si="1"/>
        <v>1330000</v>
      </c>
      <c r="O6">
        <f t="shared" si="2"/>
        <v>1425000</v>
      </c>
      <c r="P6">
        <f t="shared" si="3"/>
        <v>1900000</v>
      </c>
      <c r="Q6">
        <v>10</v>
      </c>
      <c r="R6">
        <v>15</v>
      </c>
      <c r="S6">
        <v>20</v>
      </c>
      <c r="T6">
        <v>25</v>
      </c>
    </row>
    <row r="7" spans="1:20" ht="15.75">
      <c r="A7" s="2" t="s">
        <v>28</v>
      </c>
      <c r="B7" s="2" t="s">
        <v>59</v>
      </c>
      <c r="C7" t="s">
        <v>20</v>
      </c>
      <c r="D7" s="2" t="s">
        <v>87</v>
      </c>
      <c r="E7" t="s">
        <v>93</v>
      </c>
      <c r="F7">
        <v>620000</v>
      </c>
      <c r="G7">
        <v>5</v>
      </c>
      <c r="H7">
        <v>1000</v>
      </c>
      <c r="I7">
        <v>150</v>
      </c>
      <c r="J7">
        <v>38</v>
      </c>
      <c r="K7">
        <v>30</v>
      </c>
      <c r="L7">
        <v>23000</v>
      </c>
      <c r="M7">
        <f t="shared" si="0"/>
        <v>744000</v>
      </c>
      <c r="N7">
        <f t="shared" si="1"/>
        <v>868000</v>
      </c>
      <c r="O7">
        <f t="shared" si="2"/>
        <v>930000</v>
      </c>
      <c r="P7">
        <f t="shared" si="3"/>
        <v>1240000</v>
      </c>
      <c r="Q7">
        <v>10</v>
      </c>
      <c r="R7">
        <v>15</v>
      </c>
      <c r="S7">
        <v>20</v>
      </c>
      <c r="T7">
        <v>25</v>
      </c>
    </row>
    <row r="8" spans="1:20" ht="15.75">
      <c r="A8" s="2" t="s">
        <v>29</v>
      </c>
      <c r="B8" s="2" t="s">
        <v>60</v>
      </c>
      <c r="C8" t="s">
        <v>20</v>
      </c>
      <c r="D8" s="2" t="s">
        <v>87</v>
      </c>
      <c r="E8" t="s">
        <v>93</v>
      </c>
      <c r="F8">
        <v>670000</v>
      </c>
      <c r="G8">
        <v>5</v>
      </c>
      <c r="H8">
        <v>1000</v>
      </c>
      <c r="I8">
        <v>150</v>
      </c>
      <c r="J8">
        <v>38</v>
      </c>
      <c r="K8">
        <v>30</v>
      </c>
      <c r="L8">
        <v>23000</v>
      </c>
      <c r="M8">
        <f t="shared" si="0"/>
        <v>804000</v>
      </c>
      <c r="N8">
        <f t="shared" si="1"/>
        <v>937999.99999999988</v>
      </c>
      <c r="O8">
        <f t="shared" si="2"/>
        <v>1005000</v>
      </c>
      <c r="P8">
        <f t="shared" si="3"/>
        <v>1340000</v>
      </c>
      <c r="Q8">
        <v>10</v>
      </c>
      <c r="R8">
        <v>15</v>
      </c>
      <c r="S8">
        <v>20</v>
      </c>
      <c r="T8">
        <v>25</v>
      </c>
    </row>
    <row r="9" spans="1:20" ht="15.75">
      <c r="A9" s="2" t="s">
        <v>30</v>
      </c>
      <c r="B9" s="2" t="s">
        <v>61</v>
      </c>
      <c r="C9" t="s">
        <v>20</v>
      </c>
      <c r="D9" s="2" t="s">
        <v>87</v>
      </c>
      <c r="E9" t="s">
        <v>93</v>
      </c>
      <c r="F9">
        <v>720000</v>
      </c>
      <c r="G9">
        <v>5</v>
      </c>
      <c r="H9">
        <v>1000</v>
      </c>
      <c r="I9">
        <v>150</v>
      </c>
      <c r="J9">
        <v>38</v>
      </c>
      <c r="K9">
        <v>30</v>
      </c>
      <c r="L9">
        <v>23000</v>
      </c>
      <c r="M9">
        <f t="shared" si="0"/>
        <v>864000</v>
      </c>
      <c r="N9">
        <f t="shared" si="1"/>
        <v>1007999.9999999999</v>
      </c>
      <c r="O9">
        <f t="shared" si="2"/>
        <v>1080000</v>
      </c>
      <c r="P9">
        <f t="shared" si="3"/>
        <v>1440000</v>
      </c>
      <c r="Q9">
        <v>10</v>
      </c>
      <c r="R9">
        <v>15</v>
      </c>
      <c r="S9">
        <v>20</v>
      </c>
      <c r="T9">
        <v>25</v>
      </c>
    </row>
    <row r="10" spans="1:20" ht="15.75">
      <c r="A10" s="2" t="s">
        <v>31</v>
      </c>
      <c r="B10" s="2" t="s">
        <v>62</v>
      </c>
      <c r="C10" t="s">
        <v>20</v>
      </c>
      <c r="D10" s="2" t="s">
        <v>88</v>
      </c>
      <c r="E10" t="s">
        <v>93</v>
      </c>
      <c r="F10">
        <v>770000</v>
      </c>
      <c r="G10">
        <v>5</v>
      </c>
      <c r="H10">
        <v>1000</v>
      </c>
      <c r="I10">
        <v>150</v>
      </c>
      <c r="J10">
        <v>38</v>
      </c>
      <c r="K10">
        <v>30</v>
      </c>
      <c r="L10">
        <v>23000</v>
      </c>
      <c r="M10">
        <f t="shared" si="0"/>
        <v>924000</v>
      </c>
      <c r="N10">
        <f t="shared" si="1"/>
        <v>1078000</v>
      </c>
      <c r="O10">
        <f t="shared" si="2"/>
        <v>1155000</v>
      </c>
      <c r="P10">
        <f t="shared" si="3"/>
        <v>1540000</v>
      </c>
      <c r="Q10">
        <v>10</v>
      </c>
      <c r="R10">
        <v>15</v>
      </c>
      <c r="S10">
        <v>20</v>
      </c>
      <c r="T10">
        <v>25</v>
      </c>
    </row>
    <row r="11" spans="1:20" ht="15.75">
      <c r="A11" s="2" t="s">
        <v>32</v>
      </c>
      <c r="B11" s="2" t="s">
        <v>63</v>
      </c>
      <c r="C11" t="s">
        <v>20</v>
      </c>
      <c r="D11" s="2" t="s">
        <v>88</v>
      </c>
      <c r="E11" t="s">
        <v>93</v>
      </c>
      <c r="F11">
        <v>820000</v>
      </c>
      <c r="G11">
        <v>5</v>
      </c>
      <c r="H11">
        <v>1000</v>
      </c>
      <c r="I11">
        <v>150</v>
      </c>
      <c r="J11">
        <v>38</v>
      </c>
      <c r="K11">
        <v>30</v>
      </c>
      <c r="L11">
        <v>23000</v>
      </c>
      <c r="M11">
        <f t="shared" si="0"/>
        <v>984000</v>
      </c>
      <c r="N11">
        <f t="shared" si="1"/>
        <v>1148000</v>
      </c>
      <c r="O11">
        <f t="shared" si="2"/>
        <v>1230000</v>
      </c>
      <c r="P11">
        <f t="shared" si="3"/>
        <v>1640000</v>
      </c>
      <c r="Q11">
        <v>10</v>
      </c>
      <c r="R11">
        <v>15</v>
      </c>
      <c r="S11">
        <v>20</v>
      </c>
      <c r="T11">
        <v>25</v>
      </c>
    </row>
    <row r="12" spans="1:20" ht="15.75">
      <c r="A12" s="2" t="s">
        <v>33</v>
      </c>
      <c r="B12" s="2" t="s">
        <v>64</v>
      </c>
      <c r="C12" t="s">
        <v>20</v>
      </c>
      <c r="D12" s="2" t="s">
        <v>88</v>
      </c>
      <c r="E12" t="s">
        <v>93</v>
      </c>
      <c r="F12">
        <v>870000</v>
      </c>
      <c r="G12">
        <v>5</v>
      </c>
      <c r="H12">
        <v>1000</v>
      </c>
      <c r="I12">
        <v>150</v>
      </c>
      <c r="J12">
        <v>38</v>
      </c>
      <c r="K12">
        <v>30</v>
      </c>
      <c r="L12">
        <v>23000</v>
      </c>
      <c r="M12">
        <f t="shared" si="0"/>
        <v>1044000</v>
      </c>
      <c r="N12">
        <f t="shared" si="1"/>
        <v>1218000</v>
      </c>
      <c r="O12">
        <f t="shared" si="2"/>
        <v>1305000</v>
      </c>
      <c r="P12">
        <f t="shared" si="3"/>
        <v>1740000</v>
      </c>
      <c r="Q12">
        <v>10</v>
      </c>
      <c r="R12">
        <v>15</v>
      </c>
      <c r="S12">
        <v>20</v>
      </c>
      <c r="T12">
        <v>25</v>
      </c>
    </row>
    <row r="13" spans="1:20" ht="15.75">
      <c r="A13" s="2" t="s">
        <v>34</v>
      </c>
      <c r="B13" s="2" t="s">
        <v>65</v>
      </c>
      <c r="C13" t="s">
        <v>20</v>
      </c>
      <c r="D13" s="2" t="s">
        <v>89</v>
      </c>
      <c r="E13" t="s">
        <v>93</v>
      </c>
      <c r="F13">
        <v>920000</v>
      </c>
      <c r="G13">
        <v>5</v>
      </c>
      <c r="H13">
        <v>1000</v>
      </c>
      <c r="I13">
        <v>150</v>
      </c>
      <c r="J13">
        <v>38</v>
      </c>
      <c r="K13">
        <v>30</v>
      </c>
      <c r="L13">
        <v>23000</v>
      </c>
      <c r="M13">
        <f t="shared" si="0"/>
        <v>1104000</v>
      </c>
      <c r="N13">
        <f t="shared" si="1"/>
        <v>1288000</v>
      </c>
      <c r="O13">
        <f t="shared" si="2"/>
        <v>1380000</v>
      </c>
      <c r="P13">
        <f t="shared" si="3"/>
        <v>1840000</v>
      </c>
      <c r="Q13">
        <v>10</v>
      </c>
      <c r="R13">
        <v>15</v>
      </c>
      <c r="S13">
        <v>20</v>
      </c>
      <c r="T13">
        <v>25</v>
      </c>
    </row>
    <row r="14" spans="1:20" ht="15.75">
      <c r="A14" s="2" t="s">
        <v>35</v>
      </c>
      <c r="B14" s="2" t="s">
        <v>66</v>
      </c>
      <c r="C14" t="s">
        <v>20</v>
      </c>
      <c r="D14" s="2" t="s">
        <v>88</v>
      </c>
      <c r="E14" t="s">
        <v>93</v>
      </c>
      <c r="F14">
        <v>970000</v>
      </c>
      <c r="G14">
        <v>5</v>
      </c>
      <c r="H14">
        <v>1000</v>
      </c>
      <c r="I14">
        <v>150</v>
      </c>
      <c r="J14">
        <v>38</v>
      </c>
      <c r="K14">
        <v>30</v>
      </c>
      <c r="L14">
        <v>23000</v>
      </c>
      <c r="M14">
        <f t="shared" si="0"/>
        <v>1164000</v>
      </c>
      <c r="N14">
        <f t="shared" si="1"/>
        <v>1358000</v>
      </c>
      <c r="O14">
        <f t="shared" si="2"/>
        <v>1455000</v>
      </c>
      <c r="P14">
        <f t="shared" si="3"/>
        <v>1940000</v>
      </c>
      <c r="Q14">
        <v>10</v>
      </c>
      <c r="R14">
        <v>15</v>
      </c>
      <c r="S14">
        <v>20</v>
      </c>
      <c r="T14">
        <v>25</v>
      </c>
    </row>
    <row r="15" spans="1:20" ht="15.75">
      <c r="A15" s="2" t="s">
        <v>36</v>
      </c>
      <c r="B15" s="2" t="s">
        <v>67</v>
      </c>
      <c r="C15" t="s">
        <v>20</v>
      </c>
      <c r="D15" s="2" t="s">
        <v>88</v>
      </c>
      <c r="E15" t="s">
        <v>93</v>
      </c>
      <c r="F15">
        <v>1020000</v>
      </c>
      <c r="G15">
        <v>5</v>
      </c>
      <c r="H15">
        <v>1000</v>
      </c>
      <c r="I15">
        <v>150</v>
      </c>
      <c r="J15">
        <v>38</v>
      </c>
      <c r="K15">
        <v>30</v>
      </c>
      <c r="L15">
        <v>23000</v>
      </c>
      <c r="M15">
        <f t="shared" si="0"/>
        <v>1224000</v>
      </c>
      <c r="N15">
        <f t="shared" si="1"/>
        <v>1428000</v>
      </c>
      <c r="O15">
        <f t="shared" si="2"/>
        <v>1530000</v>
      </c>
      <c r="P15">
        <f t="shared" si="3"/>
        <v>2040000</v>
      </c>
      <c r="Q15">
        <v>10</v>
      </c>
      <c r="R15">
        <v>15</v>
      </c>
      <c r="S15">
        <v>20</v>
      </c>
      <c r="T15">
        <v>25</v>
      </c>
    </row>
    <row r="16" spans="1:20" ht="15.75">
      <c r="A16" s="2" t="s">
        <v>37</v>
      </c>
      <c r="B16" s="2" t="s">
        <v>68</v>
      </c>
      <c r="C16" t="s">
        <v>20</v>
      </c>
      <c r="D16" s="2" t="s">
        <v>88</v>
      </c>
      <c r="E16" t="s">
        <v>93</v>
      </c>
      <c r="F16">
        <v>1070000</v>
      </c>
      <c r="G16">
        <v>5</v>
      </c>
      <c r="H16">
        <v>1000</v>
      </c>
      <c r="I16">
        <v>150</v>
      </c>
      <c r="J16">
        <v>38</v>
      </c>
      <c r="K16">
        <v>30</v>
      </c>
      <c r="L16">
        <v>23000</v>
      </c>
      <c r="M16">
        <f t="shared" si="0"/>
        <v>1284000</v>
      </c>
      <c r="N16">
        <f t="shared" si="1"/>
        <v>1498000</v>
      </c>
      <c r="O16">
        <f t="shared" si="2"/>
        <v>1605000</v>
      </c>
      <c r="P16">
        <f t="shared" si="3"/>
        <v>2140000</v>
      </c>
      <c r="Q16">
        <v>10</v>
      </c>
      <c r="R16">
        <v>15</v>
      </c>
      <c r="S16">
        <v>20</v>
      </c>
      <c r="T16">
        <v>25</v>
      </c>
    </row>
    <row r="17" spans="1:20" ht="15.75">
      <c r="A17" s="2" t="s">
        <v>38</v>
      </c>
      <c r="B17" s="2" t="s">
        <v>69</v>
      </c>
      <c r="C17" t="s">
        <v>20</v>
      </c>
      <c r="D17" s="2" t="s">
        <v>88</v>
      </c>
      <c r="E17" t="s">
        <v>93</v>
      </c>
      <c r="F17">
        <v>1120000</v>
      </c>
      <c r="G17">
        <v>5</v>
      </c>
      <c r="H17">
        <v>1000</v>
      </c>
      <c r="I17">
        <v>150</v>
      </c>
      <c r="J17">
        <v>38</v>
      </c>
      <c r="K17">
        <v>30</v>
      </c>
      <c r="L17">
        <v>23000</v>
      </c>
      <c r="M17">
        <f t="shared" si="0"/>
        <v>1344000</v>
      </c>
      <c r="N17">
        <f t="shared" si="1"/>
        <v>1568000</v>
      </c>
      <c r="O17">
        <f t="shared" si="2"/>
        <v>1680000</v>
      </c>
      <c r="P17">
        <f t="shared" si="3"/>
        <v>2240000</v>
      </c>
      <c r="Q17">
        <v>10</v>
      </c>
      <c r="R17">
        <v>15</v>
      </c>
      <c r="S17">
        <v>20</v>
      </c>
      <c r="T17">
        <v>25</v>
      </c>
    </row>
    <row r="18" spans="1:20" ht="15.75">
      <c r="A18" s="2" t="s">
        <v>39</v>
      </c>
      <c r="B18" s="2" t="s">
        <v>70</v>
      </c>
      <c r="C18" t="s">
        <v>20</v>
      </c>
      <c r="D18" s="2" t="s">
        <v>88</v>
      </c>
      <c r="E18" t="s">
        <v>93</v>
      </c>
      <c r="F18">
        <v>1170000</v>
      </c>
      <c r="G18">
        <v>5</v>
      </c>
      <c r="H18">
        <v>1000</v>
      </c>
      <c r="I18">
        <v>150</v>
      </c>
      <c r="J18">
        <v>38</v>
      </c>
      <c r="K18">
        <v>30</v>
      </c>
      <c r="L18">
        <v>23000</v>
      </c>
      <c r="M18">
        <f t="shared" si="0"/>
        <v>1404000</v>
      </c>
      <c r="N18">
        <f t="shared" si="1"/>
        <v>1638000</v>
      </c>
      <c r="O18">
        <f t="shared" si="2"/>
        <v>1755000</v>
      </c>
      <c r="P18">
        <f t="shared" si="3"/>
        <v>2340000</v>
      </c>
      <c r="Q18">
        <v>10</v>
      </c>
      <c r="R18">
        <v>15</v>
      </c>
      <c r="S18">
        <v>20</v>
      </c>
      <c r="T18">
        <v>25</v>
      </c>
    </row>
    <row r="19" spans="1:20" ht="15.75">
      <c r="A19" s="2" t="s">
        <v>40</v>
      </c>
      <c r="B19" s="2" t="s">
        <v>71</v>
      </c>
      <c r="C19" t="s">
        <v>20</v>
      </c>
      <c r="D19" s="2" t="s">
        <v>88</v>
      </c>
      <c r="E19" t="s">
        <v>93</v>
      </c>
      <c r="F19">
        <v>1220000</v>
      </c>
      <c r="G19">
        <v>5</v>
      </c>
      <c r="H19">
        <v>1000</v>
      </c>
      <c r="I19">
        <v>150</v>
      </c>
      <c r="J19">
        <v>38</v>
      </c>
      <c r="K19">
        <v>30</v>
      </c>
      <c r="L19">
        <v>23000</v>
      </c>
      <c r="M19">
        <f t="shared" si="0"/>
        <v>1464000</v>
      </c>
      <c r="N19">
        <f t="shared" si="1"/>
        <v>1708000</v>
      </c>
      <c r="O19">
        <f t="shared" si="2"/>
        <v>1830000</v>
      </c>
      <c r="P19">
        <f t="shared" si="3"/>
        <v>2440000</v>
      </c>
      <c r="Q19">
        <v>10</v>
      </c>
      <c r="R19">
        <v>15</v>
      </c>
      <c r="S19">
        <v>20</v>
      </c>
      <c r="T19">
        <v>25</v>
      </c>
    </row>
    <row r="20" spans="1:20" ht="15.75">
      <c r="A20" s="2" t="s">
        <v>41</v>
      </c>
      <c r="B20" s="2" t="s">
        <v>72</v>
      </c>
      <c r="C20" t="s">
        <v>20</v>
      </c>
      <c r="D20" s="2" t="s">
        <v>88</v>
      </c>
      <c r="E20" t="s">
        <v>93</v>
      </c>
      <c r="F20">
        <v>1270000</v>
      </c>
      <c r="G20">
        <v>5</v>
      </c>
      <c r="H20">
        <v>1000</v>
      </c>
      <c r="I20">
        <v>150</v>
      </c>
      <c r="J20">
        <v>38</v>
      </c>
      <c r="K20">
        <v>30</v>
      </c>
      <c r="L20">
        <v>23000</v>
      </c>
      <c r="M20">
        <f t="shared" si="0"/>
        <v>1524000</v>
      </c>
      <c r="N20">
        <f t="shared" si="1"/>
        <v>1778000</v>
      </c>
      <c r="O20">
        <f t="shared" si="2"/>
        <v>1905000</v>
      </c>
      <c r="P20">
        <f t="shared" si="3"/>
        <v>2540000</v>
      </c>
      <c r="Q20">
        <v>10</v>
      </c>
      <c r="R20">
        <v>15</v>
      </c>
      <c r="S20">
        <v>20</v>
      </c>
      <c r="T20">
        <v>25</v>
      </c>
    </row>
    <row r="21" spans="1:20" ht="15.75">
      <c r="A21" s="2" t="s">
        <v>42</v>
      </c>
      <c r="B21" s="2" t="s">
        <v>73</v>
      </c>
      <c r="C21" t="s">
        <v>20</v>
      </c>
      <c r="D21" s="2" t="s">
        <v>22</v>
      </c>
      <c r="E21" t="s">
        <v>93</v>
      </c>
      <c r="F21">
        <v>830000</v>
      </c>
      <c r="G21">
        <v>5</v>
      </c>
      <c r="H21">
        <v>1000</v>
      </c>
      <c r="I21">
        <v>150</v>
      </c>
      <c r="J21">
        <v>38</v>
      </c>
      <c r="K21">
        <v>30</v>
      </c>
      <c r="L21">
        <v>23000</v>
      </c>
      <c r="M21">
        <f t="shared" si="0"/>
        <v>996000</v>
      </c>
      <c r="N21">
        <f t="shared" si="1"/>
        <v>1162000</v>
      </c>
      <c r="O21">
        <f t="shared" si="2"/>
        <v>1245000</v>
      </c>
      <c r="P21">
        <f t="shared" si="3"/>
        <v>1660000</v>
      </c>
      <c r="Q21">
        <v>10</v>
      </c>
      <c r="R21">
        <v>15</v>
      </c>
      <c r="S21">
        <v>20</v>
      </c>
      <c r="T21">
        <v>25</v>
      </c>
    </row>
    <row r="22" spans="1:20" ht="15.75">
      <c r="A22" s="2" t="s">
        <v>43</v>
      </c>
      <c r="B22" s="2" t="s">
        <v>74</v>
      </c>
      <c r="C22" t="s">
        <v>20</v>
      </c>
      <c r="D22" s="2" t="s">
        <v>22</v>
      </c>
      <c r="E22" t="s">
        <v>93</v>
      </c>
      <c r="F22">
        <v>860000</v>
      </c>
      <c r="G22">
        <v>5</v>
      </c>
      <c r="H22">
        <v>1000</v>
      </c>
      <c r="I22">
        <v>150</v>
      </c>
      <c r="J22">
        <v>38</v>
      </c>
      <c r="K22">
        <v>30</v>
      </c>
      <c r="L22">
        <v>23000</v>
      </c>
      <c r="M22">
        <f t="shared" si="0"/>
        <v>1032000</v>
      </c>
      <c r="N22">
        <f t="shared" si="1"/>
        <v>1204000</v>
      </c>
      <c r="O22">
        <f t="shared" si="2"/>
        <v>1290000</v>
      </c>
      <c r="P22">
        <f t="shared" si="3"/>
        <v>1720000</v>
      </c>
      <c r="Q22">
        <v>10</v>
      </c>
      <c r="R22">
        <v>15</v>
      </c>
      <c r="S22">
        <v>20</v>
      </c>
      <c r="T22">
        <v>25</v>
      </c>
    </row>
    <row r="23" spans="1:20" ht="15.75">
      <c r="A23" s="2" t="s">
        <v>44</v>
      </c>
      <c r="B23" s="2" t="s">
        <v>75</v>
      </c>
      <c r="C23" t="s">
        <v>20</v>
      </c>
      <c r="D23" s="2" t="s">
        <v>22</v>
      </c>
      <c r="E23" t="s">
        <v>93</v>
      </c>
      <c r="F23">
        <v>890000</v>
      </c>
      <c r="G23">
        <v>5</v>
      </c>
      <c r="H23">
        <v>1000</v>
      </c>
      <c r="I23">
        <v>150</v>
      </c>
      <c r="J23">
        <v>38</v>
      </c>
      <c r="K23">
        <v>30</v>
      </c>
      <c r="L23">
        <v>23000</v>
      </c>
      <c r="M23">
        <f t="shared" si="0"/>
        <v>1068000</v>
      </c>
      <c r="N23">
        <f t="shared" si="1"/>
        <v>1246000</v>
      </c>
      <c r="O23">
        <f t="shared" si="2"/>
        <v>1335000</v>
      </c>
      <c r="P23">
        <f t="shared" si="3"/>
        <v>1780000</v>
      </c>
      <c r="Q23">
        <v>10</v>
      </c>
      <c r="R23">
        <v>15</v>
      </c>
      <c r="S23">
        <v>20</v>
      </c>
      <c r="T23">
        <v>25</v>
      </c>
    </row>
    <row r="24" spans="1:20" ht="15.75">
      <c r="A24" s="2" t="s">
        <v>45</v>
      </c>
      <c r="B24" s="2" t="s">
        <v>76</v>
      </c>
      <c r="C24" t="s">
        <v>20</v>
      </c>
      <c r="D24" s="2" t="s">
        <v>89</v>
      </c>
      <c r="E24" t="s">
        <v>93</v>
      </c>
      <c r="F24">
        <v>920000</v>
      </c>
      <c r="G24">
        <v>5</v>
      </c>
      <c r="H24">
        <v>1000</v>
      </c>
      <c r="I24">
        <v>150</v>
      </c>
      <c r="J24">
        <v>38</v>
      </c>
      <c r="K24">
        <v>30</v>
      </c>
      <c r="L24">
        <v>23000</v>
      </c>
      <c r="M24">
        <f t="shared" si="0"/>
        <v>1104000</v>
      </c>
      <c r="N24">
        <f t="shared" si="1"/>
        <v>1288000</v>
      </c>
      <c r="O24">
        <f t="shared" si="2"/>
        <v>1380000</v>
      </c>
      <c r="P24">
        <f t="shared" si="3"/>
        <v>1840000</v>
      </c>
      <c r="Q24">
        <v>10</v>
      </c>
      <c r="R24">
        <v>15</v>
      </c>
      <c r="S24">
        <v>20</v>
      </c>
      <c r="T24">
        <v>25</v>
      </c>
    </row>
    <row r="25" spans="1:20" ht="15.75">
      <c r="A25" s="2" t="s">
        <v>46</v>
      </c>
      <c r="B25" s="2" t="s">
        <v>77</v>
      </c>
      <c r="C25" t="s">
        <v>20</v>
      </c>
      <c r="D25" s="2" t="s">
        <v>22</v>
      </c>
      <c r="E25" t="s">
        <v>93</v>
      </c>
      <c r="F25">
        <v>950000</v>
      </c>
      <c r="G25">
        <v>5</v>
      </c>
      <c r="H25">
        <v>1000</v>
      </c>
      <c r="I25">
        <v>150</v>
      </c>
      <c r="J25">
        <v>38</v>
      </c>
      <c r="K25">
        <v>30</v>
      </c>
      <c r="L25">
        <v>23000</v>
      </c>
      <c r="M25">
        <f t="shared" si="0"/>
        <v>1140000</v>
      </c>
      <c r="N25">
        <f t="shared" si="1"/>
        <v>1330000</v>
      </c>
      <c r="O25">
        <f t="shared" si="2"/>
        <v>1425000</v>
      </c>
      <c r="P25">
        <f t="shared" si="3"/>
        <v>1900000</v>
      </c>
      <c r="Q25">
        <v>10</v>
      </c>
      <c r="R25">
        <v>15</v>
      </c>
      <c r="S25">
        <v>20</v>
      </c>
      <c r="T25">
        <v>25</v>
      </c>
    </row>
    <row r="26" spans="1:20" ht="15.75">
      <c r="A26" s="2" t="s">
        <v>47</v>
      </c>
      <c r="B26" s="2" t="s">
        <v>78</v>
      </c>
      <c r="C26" t="s">
        <v>20</v>
      </c>
      <c r="D26" s="2" t="s">
        <v>89</v>
      </c>
      <c r="E26" t="s">
        <v>93</v>
      </c>
      <c r="F26">
        <v>980000</v>
      </c>
      <c r="G26">
        <v>5</v>
      </c>
      <c r="H26">
        <v>1000</v>
      </c>
      <c r="I26">
        <v>150</v>
      </c>
      <c r="J26">
        <v>38</v>
      </c>
      <c r="K26">
        <v>30</v>
      </c>
      <c r="L26">
        <v>23000</v>
      </c>
      <c r="M26">
        <f t="shared" si="0"/>
        <v>1176000</v>
      </c>
      <c r="N26">
        <f t="shared" si="1"/>
        <v>1372000</v>
      </c>
      <c r="O26">
        <f t="shared" si="2"/>
        <v>1470000</v>
      </c>
      <c r="P26">
        <f t="shared" si="3"/>
        <v>1960000</v>
      </c>
      <c r="Q26">
        <v>10</v>
      </c>
      <c r="R26">
        <v>15</v>
      </c>
      <c r="S26">
        <v>20</v>
      </c>
      <c r="T26">
        <v>25</v>
      </c>
    </row>
    <row r="27" spans="1:20" ht="15.75">
      <c r="A27" s="2" t="s">
        <v>48</v>
      </c>
      <c r="B27" s="2" t="s">
        <v>79</v>
      </c>
      <c r="C27" t="s">
        <v>20</v>
      </c>
      <c r="D27" s="2" t="s">
        <v>90</v>
      </c>
      <c r="E27" t="s">
        <v>93</v>
      </c>
      <c r="F27">
        <v>1010000</v>
      </c>
      <c r="G27">
        <v>5</v>
      </c>
      <c r="H27">
        <v>1000</v>
      </c>
      <c r="I27">
        <v>150</v>
      </c>
      <c r="J27">
        <v>38</v>
      </c>
      <c r="K27">
        <v>30</v>
      </c>
      <c r="L27">
        <v>23000</v>
      </c>
      <c r="M27">
        <f t="shared" si="0"/>
        <v>1212000</v>
      </c>
      <c r="N27">
        <f t="shared" si="1"/>
        <v>1414000</v>
      </c>
      <c r="O27">
        <f t="shared" si="2"/>
        <v>1515000</v>
      </c>
      <c r="P27">
        <f t="shared" si="3"/>
        <v>2020000</v>
      </c>
      <c r="Q27">
        <v>10</v>
      </c>
      <c r="R27">
        <v>15</v>
      </c>
      <c r="S27">
        <v>20</v>
      </c>
      <c r="T27">
        <v>25</v>
      </c>
    </row>
    <row r="28" spans="1:20" ht="15.75">
      <c r="A28" s="2" t="s">
        <v>49</v>
      </c>
      <c r="B28" s="2" t="s">
        <v>80</v>
      </c>
      <c r="C28" t="s">
        <v>20</v>
      </c>
      <c r="D28" s="2" t="s">
        <v>91</v>
      </c>
      <c r="E28" t="s">
        <v>93</v>
      </c>
      <c r="F28">
        <v>1040000</v>
      </c>
      <c r="G28">
        <v>5</v>
      </c>
      <c r="H28">
        <v>1000</v>
      </c>
      <c r="I28">
        <v>150</v>
      </c>
      <c r="J28">
        <v>38</v>
      </c>
      <c r="K28">
        <v>30</v>
      </c>
      <c r="L28">
        <v>23000</v>
      </c>
      <c r="M28">
        <f t="shared" si="0"/>
        <v>1248000</v>
      </c>
      <c r="N28">
        <f t="shared" si="1"/>
        <v>1456000</v>
      </c>
      <c r="O28">
        <f t="shared" si="2"/>
        <v>1560000</v>
      </c>
      <c r="P28">
        <f t="shared" si="3"/>
        <v>2080000</v>
      </c>
      <c r="Q28">
        <v>10</v>
      </c>
      <c r="R28">
        <v>15</v>
      </c>
      <c r="S28">
        <v>20</v>
      </c>
      <c r="T28">
        <v>25</v>
      </c>
    </row>
    <row r="29" spans="1:20" ht="15.75">
      <c r="A29" s="2" t="s">
        <v>50</v>
      </c>
      <c r="B29" s="2" t="s">
        <v>81</v>
      </c>
      <c r="C29" t="s">
        <v>20</v>
      </c>
      <c r="D29" s="2" t="s">
        <v>92</v>
      </c>
      <c r="E29" t="s">
        <v>93</v>
      </c>
      <c r="F29">
        <v>1070000</v>
      </c>
      <c r="G29">
        <v>5</v>
      </c>
      <c r="H29">
        <v>1000</v>
      </c>
      <c r="I29">
        <v>150</v>
      </c>
      <c r="J29">
        <v>38</v>
      </c>
      <c r="K29">
        <v>30</v>
      </c>
      <c r="L29">
        <v>23000</v>
      </c>
      <c r="M29">
        <f t="shared" si="0"/>
        <v>1284000</v>
      </c>
      <c r="N29">
        <f t="shared" si="1"/>
        <v>1498000</v>
      </c>
      <c r="O29">
        <f t="shared" si="2"/>
        <v>1605000</v>
      </c>
      <c r="P29">
        <f t="shared" si="3"/>
        <v>2140000</v>
      </c>
      <c r="Q29">
        <v>10</v>
      </c>
      <c r="R29">
        <v>15</v>
      </c>
      <c r="S29">
        <v>20</v>
      </c>
      <c r="T29">
        <v>25</v>
      </c>
    </row>
    <row r="30" spans="1:20" ht="15.75">
      <c r="A30" s="2" t="s">
        <v>51</v>
      </c>
      <c r="B30" s="2" t="s">
        <v>82</v>
      </c>
      <c r="C30" t="s">
        <v>20</v>
      </c>
      <c r="D30" s="2" t="s">
        <v>85</v>
      </c>
      <c r="E30" t="s">
        <v>93</v>
      </c>
      <c r="F30">
        <v>1100000</v>
      </c>
      <c r="G30">
        <v>5</v>
      </c>
      <c r="H30">
        <v>1000</v>
      </c>
      <c r="I30">
        <v>150</v>
      </c>
      <c r="J30">
        <v>38</v>
      </c>
      <c r="K30">
        <v>30</v>
      </c>
      <c r="L30">
        <v>23000</v>
      </c>
      <c r="M30">
        <f t="shared" si="0"/>
        <v>1320000</v>
      </c>
      <c r="N30">
        <f t="shared" si="1"/>
        <v>1540000</v>
      </c>
      <c r="O30">
        <f t="shared" si="2"/>
        <v>1650000</v>
      </c>
      <c r="P30">
        <f t="shared" si="3"/>
        <v>2200000</v>
      </c>
      <c r="Q30">
        <v>10</v>
      </c>
      <c r="R30">
        <v>15</v>
      </c>
      <c r="S30">
        <v>20</v>
      </c>
      <c r="T30">
        <v>25</v>
      </c>
    </row>
    <row r="31" spans="1:20" ht="15.75">
      <c r="A31" s="2" t="s">
        <v>52</v>
      </c>
      <c r="B31" s="2" t="s">
        <v>83</v>
      </c>
      <c r="C31" t="s">
        <v>20</v>
      </c>
      <c r="D31" s="2" t="s">
        <v>21</v>
      </c>
      <c r="E31" t="s">
        <v>93</v>
      </c>
      <c r="F31">
        <v>1130000</v>
      </c>
      <c r="G31">
        <v>5</v>
      </c>
      <c r="H31">
        <v>1000</v>
      </c>
      <c r="I31">
        <v>150</v>
      </c>
      <c r="J31">
        <v>38</v>
      </c>
      <c r="K31">
        <v>30</v>
      </c>
      <c r="L31">
        <v>23000</v>
      </c>
      <c r="M31">
        <f t="shared" si="0"/>
        <v>1356000</v>
      </c>
      <c r="N31">
        <f t="shared" si="1"/>
        <v>1582000</v>
      </c>
      <c r="O31">
        <f t="shared" si="2"/>
        <v>1695000</v>
      </c>
      <c r="P31">
        <f t="shared" si="3"/>
        <v>2260000</v>
      </c>
      <c r="Q31">
        <v>10</v>
      </c>
      <c r="R31">
        <v>15</v>
      </c>
      <c r="S31">
        <v>20</v>
      </c>
      <c r="T31">
        <v>25</v>
      </c>
    </row>
    <row r="32" spans="1:20" ht="15.75">
      <c r="A32" s="2" t="s">
        <v>53</v>
      </c>
      <c r="B32" s="2" t="s">
        <v>84</v>
      </c>
      <c r="C32" t="s">
        <v>20</v>
      </c>
      <c r="D32" s="2" t="s">
        <v>21</v>
      </c>
      <c r="E32" t="s">
        <v>93</v>
      </c>
      <c r="F32">
        <v>1160000</v>
      </c>
      <c r="G32">
        <v>5</v>
      </c>
      <c r="H32">
        <v>1000</v>
      </c>
      <c r="I32">
        <v>150</v>
      </c>
      <c r="J32">
        <v>38</v>
      </c>
      <c r="K32">
        <v>30</v>
      </c>
      <c r="L32">
        <v>23000</v>
      </c>
      <c r="M32">
        <f t="shared" si="0"/>
        <v>1392000</v>
      </c>
      <c r="N32">
        <f t="shared" si="1"/>
        <v>1624000</v>
      </c>
      <c r="O32">
        <f t="shared" si="2"/>
        <v>1740000</v>
      </c>
      <c r="P32">
        <f t="shared" si="3"/>
        <v>2320000</v>
      </c>
      <c r="Q32">
        <v>10</v>
      </c>
      <c r="R32">
        <v>15</v>
      </c>
      <c r="S32">
        <v>20</v>
      </c>
      <c r="T32">
        <v>25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Export</dc:title>
  <dc:subject/>
  <dc:creator>Quản trị</dc:creator>
  <cp:keywords/>
  <dc:description/>
  <cp:lastModifiedBy>ADMIN</cp:lastModifiedBy>
  <dcterms:created xsi:type="dcterms:W3CDTF">2026-05-13T02:52:34Z</dcterms:created>
  <dcterms:modified xsi:type="dcterms:W3CDTF">2026-05-19T03:07:34Z</dcterms:modified>
  <cp:category/>
</cp:coreProperties>
</file>